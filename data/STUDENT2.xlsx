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7D71D15-0F7C-4ED3-8AB2-83C72CAE76B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base" sheetId="1" r:id="rId1"/>
    <sheet name="Report card" sheetId="3" r:id="rId2"/>
  </sheets>
  <definedNames>
    <definedName name="datatable">Table1[#All]</definedName>
    <definedName name="TABLE">Table1[[#Headers],[STUDENT ID]]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3" l="1"/>
  <c r="H13" i="3" s="1"/>
  <c r="F14" i="3"/>
  <c r="F15" i="3"/>
  <c r="G15" i="3" s="1"/>
  <c r="F16" i="3"/>
  <c r="G16" i="3" s="1"/>
  <c r="F17" i="3"/>
  <c r="H17" i="3" s="1"/>
  <c r="F18" i="3"/>
  <c r="G18" i="3" s="1"/>
  <c r="F12" i="3"/>
  <c r="G12" i="3" s="1"/>
  <c r="G14" i="3"/>
  <c r="E8" i="3"/>
  <c r="E9" i="3"/>
  <c r="H20" i="3" l="1"/>
  <c r="H21" i="3" s="1"/>
  <c r="G17" i="3"/>
  <c r="G13" i="3"/>
  <c r="H16" i="3"/>
  <c r="H15" i="3"/>
  <c r="H12" i="3"/>
  <c r="H18" i="3"/>
  <c r="H14" i="3"/>
  <c r="F24" i="3" l="1"/>
  <c r="F23" i="3"/>
</calcChain>
</file>

<file path=xl/sharedStrings.xml><?xml version="1.0" encoding="utf-8"?>
<sst xmlns="http://schemas.openxmlformats.org/spreadsheetml/2006/main" count="133" uniqueCount="101">
  <si>
    <t>STUDENT ID</t>
  </si>
  <si>
    <t>NAME</t>
  </si>
  <si>
    <t>DEPT</t>
  </si>
  <si>
    <t>MATHS</t>
  </si>
  <si>
    <t>ENGLISH</t>
  </si>
  <si>
    <t>PHY</t>
  </si>
  <si>
    <t>BIO</t>
  </si>
  <si>
    <t>CHE</t>
  </si>
  <si>
    <t>AGRIC</t>
  </si>
  <si>
    <t>GEO</t>
  </si>
  <si>
    <t>IKT34</t>
  </si>
  <si>
    <t>Adeola Musa</t>
  </si>
  <si>
    <t>Computer Science</t>
  </si>
  <si>
    <t>IKT02</t>
  </si>
  <si>
    <t>Tunde Balogun</t>
  </si>
  <si>
    <t>Accounting</t>
  </si>
  <si>
    <t>IKT89</t>
  </si>
  <si>
    <t>Chioma Okeke</t>
  </si>
  <si>
    <t>Biology</t>
  </si>
  <si>
    <t>IKT11</t>
  </si>
  <si>
    <t>Ibrahim Bello</t>
  </si>
  <si>
    <t>Engineering</t>
  </si>
  <si>
    <t>IKT53</t>
  </si>
  <si>
    <t>Ngozi Eze</t>
  </si>
  <si>
    <t>Economics</t>
  </si>
  <si>
    <t>IKT27</t>
  </si>
  <si>
    <t>Samuel Adeyemi</t>
  </si>
  <si>
    <t>Geography</t>
  </si>
  <si>
    <t>IKT75</t>
  </si>
  <si>
    <t>Ruth Akinwale</t>
  </si>
  <si>
    <t>Microbiology</t>
  </si>
  <si>
    <t>IKT20</t>
  </si>
  <si>
    <t>Emeka Obi</t>
  </si>
  <si>
    <t>Physics</t>
  </si>
  <si>
    <t>IKT61</t>
  </si>
  <si>
    <t>Zainab Sadiq</t>
  </si>
  <si>
    <t>Chemistry</t>
  </si>
  <si>
    <t>IKT08</t>
  </si>
  <si>
    <t>David Ojo</t>
  </si>
  <si>
    <t>IKT44</t>
  </si>
  <si>
    <t>Grace Nwosu</t>
  </si>
  <si>
    <t>IKT92</t>
  </si>
  <si>
    <t>Kingsley Uche</t>
  </si>
  <si>
    <t>IKT36</t>
  </si>
  <si>
    <t>Amina Bello</t>
  </si>
  <si>
    <t>Agriculture</t>
  </si>
  <si>
    <t>IKT14</t>
  </si>
  <si>
    <t>Peter Okon</t>
  </si>
  <si>
    <t>Geology</t>
  </si>
  <si>
    <t>IKT71</t>
  </si>
  <si>
    <t>Blessing Eze</t>
  </si>
  <si>
    <t>IKT16</t>
  </si>
  <si>
    <t>Kolade Lawal</t>
  </si>
  <si>
    <t>IKT50</t>
  </si>
  <si>
    <t>Halima Musa</t>
  </si>
  <si>
    <t>IKT83</t>
  </si>
  <si>
    <t>Victor James</t>
  </si>
  <si>
    <t>IKT05</t>
  </si>
  <si>
    <t>Joy Olatunji</t>
  </si>
  <si>
    <t>IKT99</t>
  </si>
  <si>
    <t>Sani Abdullahi</t>
  </si>
  <si>
    <t>IKT21</t>
  </si>
  <si>
    <t>Esther Okafor</t>
  </si>
  <si>
    <t>IKT64</t>
  </si>
  <si>
    <t>Adewale Yusuf</t>
  </si>
  <si>
    <t>IKT03</t>
  </si>
  <si>
    <t>Chinedu Nnamdi</t>
  </si>
  <si>
    <t>IKT57</t>
  </si>
  <si>
    <t>Maryam Aliyu</t>
  </si>
  <si>
    <t>IKT41</t>
  </si>
  <si>
    <t>Paul Johnson</t>
  </si>
  <si>
    <t>IKT12</t>
  </si>
  <si>
    <t>Lilian Obi</t>
  </si>
  <si>
    <t>IKT68</t>
  </si>
  <si>
    <t>Usman Garba</t>
  </si>
  <si>
    <t>IKT25</t>
  </si>
  <si>
    <t>Rachel Danjuma</t>
  </si>
  <si>
    <t>IKT77</t>
  </si>
  <si>
    <t>Stephen Adeoye</t>
  </si>
  <si>
    <t>IKT01</t>
  </si>
  <si>
    <t>Fatima Lawal</t>
  </si>
  <si>
    <t>SIR EKKAN PRIMARY SCHOOL</t>
  </si>
  <si>
    <t xml:space="preserve">After Event center, Murtala way Bauchi, Bauchi State- nigeria </t>
  </si>
  <si>
    <t>Report Card</t>
  </si>
  <si>
    <t>:</t>
  </si>
  <si>
    <t>SUBJECT</t>
  </si>
  <si>
    <t>Marks obtained</t>
  </si>
  <si>
    <t>Percentage</t>
  </si>
  <si>
    <t>Pass/Fail</t>
  </si>
  <si>
    <t>Final Result</t>
  </si>
  <si>
    <t>Grade</t>
  </si>
  <si>
    <t>Obtained Marks</t>
  </si>
  <si>
    <t>percetage</t>
  </si>
  <si>
    <t>Grade Table</t>
  </si>
  <si>
    <t>D</t>
  </si>
  <si>
    <t>C</t>
  </si>
  <si>
    <t>F</t>
  </si>
  <si>
    <t>B</t>
  </si>
  <si>
    <t>A</t>
  </si>
  <si>
    <t>RAW FILE</t>
  </si>
  <si>
    <t>SIR EKKAN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</si>
</sst>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1"/>
      <color theme="1"/>
      <name val="'Segoe UI'"/>
    </font>
    <font>
      <sz val="11"/>
      <color theme="1"/>
      <name val="'Segoe UI'"/>
    </font>
    <font>
      <sz val="11"/>
      <color theme="1"/>
      <name val="Arial"/>
    </font>
    <font>
      <sz val="10"/>
      <color rgb="FF00B050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22"/>
      <color theme="9" tint="-0.499984740745262"/>
      <name val="Britannic Bold"/>
      <family val="2"/>
    </font>
    <font>
      <b/>
      <sz val="26"/>
      <color theme="9" tint="-0.499984740745262"/>
      <name val="Britannic Bold"/>
      <family val="2"/>
    </font>
    <font>
      <sz val="18"/>
      <name val="Impact"/>
      <family val="2"/>
    </font>
    <font>
      <b/>
      <sz val="11"/>
      <name val="Arial"/>
      <family val="2"/>
      <scheme val="minor"/>
    </font>
    <font>
      <sz val="10"/>
      <color theme="4" tint="-0.249977111117893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0" fillId="2" borderId="0" xfId="0" applyFont="1" applyFill="1" applyAlignment="1"/>
    <xf numFmtId="0" fontId="5" fillId="2" borderId="0" xfId="0" applyFont="1" applyFill="1" applyAlignment="1"/>
    <xf numFmtId="0" fontId="6" fillId="2" borderId="0" xfId="0" applyFont="1" applyFill="1" applyAlignment="1"/>
    <xf numFmtId="0" fontId="7" fillId="2" borderId="0" xfId="0" applyFont="1" applyFill="1" applyAlignment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7" fillId="2" borderId="2" xfId="0" applyFont="1" applyFill="1" applyBorder="1" applyAlignment="1"/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9" fontId="7" fillId="2" borderId="2" xfId="0" applyNumberFormat="1" applyFont="1" applyFill="1" applyBorder="1" applyAlignment="1">
      <alignment horizontal="center"/>
    </xf>
    <xf numFmtId="9" fontId="6" fillId="2" borderId="2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26</xdr:row>
      <xdr:rowOff>114300</xdr:rowOff>
    </xdr:from>
    <xdr:to>
      <xdr:col>10</xdr:col>
      <xdr:colOff>352425</xdr:colOff>
      <xdr:row>28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6F92A6-70B6-DA6F-116C-9DA9A65F85BE}"/>
            </a:ext>
          </a:extLst>
        </xdr:cNvPr>
        <xdr:cNvSpPr txBox="1"/>
      </xdr:nvSpPr>
      <xdr:spPr>
        <a:xfrm>
          <a:off x="4352925" y="5695950"/>
          <a:ext cx="1666875" cy="2667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Prinipal</a:t>
          </a:r>
          <a:endParaRPr lang="en-GB" sz="1200" b="1"/>
        </a:p>
      </xdr:txBody>
    </xdr:sp>
    <xdr:clientData/>
  </xdr:twoCellAnchor>
  <xdr:twoCellAnchor>
    <xdr:from>
      <xdr:col>2</xdr:col>
      <xdr:colOff>333375</xdr:colOff>
      <xdr:row>26</xdr:row>
      <xdr:rowOff>47625</xdr:rowOff>
    </xdr:from>
    <xdr:to>
      <xdr:col>4</xdr:col>
      <xdr:colOff>752475</xdr:colOff>
      <xdr:row>28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2C8480-FEBF-7F35-A3EF-3C66BB48F757}"/>
            </a:ext>
          </a:extLst>
        </xdr:cNvPr>
        <xdr:cNvSpPr txBox="1"/>
      </xdr:nvSpPr>
      <xdr:spPr>
        <a:xfrm>
          <a:off x="666750" y="5257800"/>
          <a:ext cx="1323975" cy="2762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solidFill>
                <a:sysClr val="windowText" lastClr="000000"/>
              </a:solidFill>
            </a:rPr>
            <a:t>Teacher</a:t>
          </a:r>
        </a:p>
      </xdr:txBody>
    </xdr:sp>
    <xdr:clientData/>
  </xdr:twoCellAnchor>
  <xdr:twoCellAnchor editAs="oneCell">
    <xdr:from>
      <xdr:col>0</xdr:col>
      <xdr:colOff>0</xdr:colOff>
      <xdr:row>1</xdr:row>
      <xdr:rowOff>41563</xdr:rowOff>
    </xdr:from>
    <xdr:to>
      <xdr:col>4</xdr:col>
      <xdr:colOff>332103</xdr:colOff>
      <xdr:row>4</xdr:row>
      <xdr:rowOff>314326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8532F6-9833-35A3-F89A-4801EEB9B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238"/>
          <a:ext cx="1570353" cy="1025238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CDCA57-AD83-407E-A192-736CB1A2357F}" name="Table1" displayName="Table1" ref="A1:J31" totalsRowShown="0" headerRowDxfId="11" dataDxfId="10">
  <autoFilter ref="A1:J31" xr:uid="{19CDCA57-AD83-407E-A192-736CB1A235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CDB2962-2728-4ADC-82B0-B2BD14663953}" name="STUDENT ID" dataDxfId="9"/>
    <tableColumn id="2" xr3:uid="{C243FF5D-E0B5-48B4-BACB-4C2ADB784F88}" name="NAME" dataDxfId="8"/>
    <tableColumn id="3" xr3:uid="{7C0F347B-6BD3-4CE8-9DF4-4012236CD151}" name="DEPT" dataDxfId="7"/>
    <tableColumn id="4" xr3:uid="{79D9867B-9D81-433B-A727-6B568209218F}" name="MATHS" dataDxfId="6"/>
    <tableColumn id="5" xr3:uid="{4A71705F-D78D-44BE-8609-671C31F4ADC0}" name="ENGLISH" dataDxfId="5"/>
    <tableColumn id="6" xr3:uid="{9AEC0370-122D-4CF6-A6BE-C61D8EBA85F0}" name="PHY" dataDxfId="4"/>
    <tableColumn id="7" xr3:uid="{90388BB3-21B4-4194-93AC-F0DD4E185CA4}" name="BIO" dataDxfId="3"/>
    <tableColumn id="8" xr3:uid="{F4598F2D-1CE4-4A28-A409-FEC983044EF2}" name="CHE" dataDxfId="2"/>
    <tableColumn id="9" xr3:uid="{CFDA5C7A-334A-432A-AE12-7CB1D7120C91}" name="AGRIC" dataDxfId="1"/>
    <tableColumn id="10" xr3:uid="{0A55B382-9B02-49F4-9794-C9869E88D77A}" name="GEO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1"/>
  <sheetViews>
    <sheetView workbookViewId="0">
      <selection activeCell="L9" sqref="L9"/>
    </sheetView>
  </sheetViews>
  <sheetFormatPr defaultColWidth="12.5703125" defaultRowHeight="15.75" customHeight="1"/>
  <cols>
    <col min="1" max="1" width="16.28515625" customWidth="1"/>
    <col min="2" max="2" width="16.85546875" bestFit="1" customWidth="1"/>
    <col min="3" max="3" width="18.7109375" bestFit="1" customWidth="1"/>
    <col min="4" max="4" width="10.7109375" customWidth="1"/>
    <col min="5" max="5" width="12.7109375" customWidth="1"/>
    <col min="6" max="6" width="7.5703125" customWidth="1"/>
    <col min="7" max="7" width="7" customWidth="1"/>
    <col min="8" max="8" width="7.7109375" customWidth="1"/>
    <col min="9" max="9" width="9.85546875" customWidth="1"/>
    <col min="10" max="10" width="8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ht="14.25">
      <c r="A2" s="2" t="s">
        <v>10</v>
      </c>
      <c r="B2" s="2" t="s">
        <v>11</v>
      </c>
      <c r="C2" s="2" t="s">
        <v>12</v>
      </c>
      <c r="D2" s="2">
        <v>78</v>
      </c>
      <c r="E2" s="2">
        <v>65</v>
      </c>
      <c r="F2" s="3">
        <v>44</v>
      </c>
      <c r="G2" s="2">
        <v>74</v>
      </c>
      <c r="H2" s="2">
        <v>69</v>
      </c>
      <c r="I2" s="2">
        <v>55</v>
      </c>
      <c r="J2" s="2">
        <v>60</v>
      </c>
    </row>
    <row r="3" spans="1:12" ht="14.25">
      <c r="A3" s="2" t="s">
        <v>13</v>
      </c>
      <c r="B3" s="2" t="s">
        <v>14</v>
      </c>
      <c r="C3" s="2" t="s">
        <v>15</v>
      </c>
      <c r="D3" s="2">
        <v>55</v>
      </c>
      <c r="E3" s="2">
        <v>60</v>
      </c>
      <c r="F3" s="2">
        <v>48</v>
      </c>
      <c r="G3" s="2">
        <v>52</v>
      </c>
      <c r="H3" s="2">
        <v>72</v>
      </c>
      <c r="I3" s="2">
        <v>67</v>
      </c>
      <c r="J3" s="2">
        <v>58</v>
      </c>
    </row>
    <row r="4" spans="1:12" ht="14.25">
      <c r="A4" s="2" t="s">
        <v>16</v>
      </c>
      <c r="B4" s="2" t="s">
        <v>17</v>
      </c>
      <c r="C4" s="2" t="s">
        <v>18</v>
      </c>
      <c r="D4" s="2">
        <v>85</v>
      </c>
      <c r="E4" s="2">
        <v>79</v>
      </c>
      <c r="F4" s="2">
        <v>74</v>
      </c>
      <c r="G4" s="2">
        <v>88</v>
      </c>
      <c r="H4" s="2">
        <v>81</v>
      </c>
      <c r="I4" s="2">
        <v>70</v>
      </c>
      <c r="J4" s="2">
        <v>72</v>
      </c>
    </row>
    <row r="5" spans="1:12" ht="14.25">
      <c r="A5" s="2" t="s">
        <v>19</v>
      </c>
      <c r="B5" s="2" t="s">
        <v>20</v>
      </c>
      <c r="C5" s="2" t="s">
        <v>21</v>
      </c>
      <c r="D5" s="2">
        <v>90</v>
      </c>
      <c r="E5" s="2">
        <v>76</v>
      </c>
      <c r="F5" s="2">
        <v>88</v>
      </c>
      <c r="G5" s="3">
        <v>55</v>
      </c>
      <c r="H5" s="2">
        <v>84</v>
      </c>
      <c r="I5" s="2">
        <v>73</v>
      </c>
      <c r="J5" s="2">
        <v>75</v>
      </c>
    </row>
    <row r="6" spans="1:12" ht="14.25">
      <c r="A6" s="2" t="s">
        <v>22</v>
      </c>
      <c r="B6" s="2" t="s">
        <v>23</v>
      </c>
      <c r="C6" s="2" t="s">
        <v>24</v>
      </c>
      <c r="D6" s="2">
        <v>62</v>
      </c>
      <c r="E6" s="2">
        <v>70</v>
      </c>
      <c r="F6" s="2">
        <v>58</v>
      </c>
      <c r="G6" s="2">
        <v>60</v>
      </c>
      <c r="H6" s="2">
        <v>64</v>
      </c>
      <c r="I6" s="2">
        <v>66</v>
      </c>
      <c r="J6" s="2">
        <v>59</v>
      </c>
    </row>
    <row r="7" spans="1:12" ht="14.25">
      <c r="A7" s="2" t="s">
        <v>25</v>
      </c>
      <c r="B7" s="2" t="s">
        <v>26</v>
      </c>
      <c r="C7" s="2" t="s">
        <v>27</v>
      </c>
      <c r="D7" s="2">
        <v>71</v>
      </c>
      <c r="E7" s="2">
        <v>68</v>
      </c>
      <c r="F7" s="2">
        <v>72</v>
      </c>
      <c r="G7" s="2">
        <v>65</v>
      </c>
      <c r="H7" s="2">
        <v>60</v>
      </c>
      <c r="I7" s="2">
        <v>75</v>
      </c>
      <c r="J7" s="3">
        <v>44</v>
      </c>
      <c r="L7" t="s">
        <v>99</v>
      </c>
    </row>
    <row r="8" spans="1:12" ht="14.25">
      <c r="A8" s="2" t="s">
        <v>28</v>
      </c>
      <c r="B8" s="2" t="s">
        <v>29</v>
      </c>
      <c r="C8" s="2" t="s">
        <v>30</v>
      </c>
      <c r="D8" s="3">
        <v>44</v>
      </c>
      <c r="E8" s="2">
        <v>74</v>
      </c>
      <c r="F8" s="2">
        <v>78</v>
      </c>
      <c r="G8" s="2">
        <v>82</v>
      </c>
      <c r="H8" s="2">
        <v>77</v>
      </c>
      <c r="I8" s="2">
        <v>69</v>
      </c>
      <c r="J8" s="2">
        <v>70</v>
      </c>
    </row>
    <row r="9" spans="1:12" ht="14.25">
      <c r="A9" s="2" t="s">
        <v>31</v>
      </c>
      <c r="B9" s="2" t="s">
        <v>32</v>
      </c>
      <c r="C9" s="2" t="s">
        <v>33</v>
      </c>
      <c r="D9" s="3">
        <v>44</v>
      </c>
      <c r="E9" s="2">
        <v>66</v>
      </c>
      <c r="F9" s="2">
        <v>91</v>
      </c>
      <c r="G9" s="2">
        <v>73</v>
      </c>
      <c r="H9" s="2">
        <v>85</v>
      </c>
      <c r="I9" s="2">
        <v>60</v>
      </c>
      <c r="J9" s="2">
        <v>64</v>
      </c>
      <c r="L9" t="s">
        <v>100</v>
      </c>
    </row>
    <row r="10" spans="1:12" ht="14.25">
      <c r="A10" s="2" t="s">
        <v>34</v>
      </c>
      <c r="B10" s="2" t="s">
        <v>35</v>
      </c>
      <c r="C10" s="2" t="s">
        <v>36</v>
      </c>
      <c r="D10" s="2">
        <v>73</v>
      </c>
      <c r="E10" s="2">
        <v>70</v>
      </c>
      <c r="F10" s="2">
        <v>75</v>
      </c>
      <c r="G10" s="2">
        <v>68</v>
      </c>
      <c r="H10" s="2">
        <v>80</v>
      </c>
      <c r="I10" s="2">
        <v>65</v>
      </c>
      <c r="J10" s="2">
        <v>69</v>
      </c>
    </row>
    <row r="11" spans="1:12" ht="14.25">
      <c r="A11" s="2" t="s">
        <v>37</v>
      </c>
      <c r="B11" s="2" t="s">
        <v>38</v>
      </c>
      <c r="C11" s="2" t="s">
        <v>21</v>
      </c>
      <c r="D11" s="3">
        <v>44</v>
      </c>
      <c r="E11" s="2">
        <v>77</v>
      </c>
      <c r="F11" s="3">
        <v>55</v>
      </c>
      <c r="G11" s="2">
        <v>79</v>
      </c>
      <c r="H11" s="2">
        <v>81</v>
      </c>
      <c r="I11" s="2">
        <v>72</v>
      </c>
      <c r="J11" s="2">
        <v>74</v>
      </c>
    </row>
    <row r="12" spans="1:12" ht="14.25">
      <c r="A12" s="2" t="s">
        <v>39</v>
      </c>
      <c r="B12" s="2" t="s">
        <v>40</v>
      </c>
      <c r="C12" s="2" t="s">
        <v>18</v>
      </c>
      <c r="D12" s="3">
        <v>56</v>
      </c>
      <c r="E12" s="2">
        <v>72</v>
      </c>
      <c r="F12" s="2">
        <v>65</v>
      </c>
      <c r="G12" s="2">
        <v>70</v>
      </c>
      <c r="H12" s="2">
        <v>68</v>
      </c>
      <c r="I12" s="2">
        <v>64</v>
      </c>
      <c r="J12" s="2">
        <v>66</v>
      </c>
    </row>
    <row r="13" spans="1:12" ht="14.25">
      <c r="A13" s="2" t="s">
        <v>41</v>
      </c>
      <c r="B13" s="2" t="s">
        <v>42</v>
      </c>
      <c r="C13" s="2" t="s">
        <v>12</v>
      </c>
      <c r="D13" s="2">
        <v>75</v>
      </c>
      <c r="E13" s="2">
        <v>71</v>
      </c>
      <c r="F13" s="3">
        <v>66</v>
      </c>
      <c r="G13" s="2">
        <v>74</v>
      </c>
      <c r="H13" s="2">
        <v>72</v>
      </c>
      <c r="I13" s="2">
        <v>69</v>
      </c>
      <c r="J13" s="2">
        <v>70</v>
      </c>
    </row>
    <row r="14" spans="1:12" ht="14.25">
      <c r="A14" s="2" t="s">
        <v>43</v>
      </c>
      <c r="B14" s="2" t="s">
        <v>44</v>
      </c>
      <c r="C14" s="2" t="s">
        <v>45</v>
      </c>
      <c r="D14" s="2">
        <v>66</v>
      </c>
      <c r="E14" s="2">
        <v>68</v>
      </c>
      <c r="F14" s="2">
        <v>62</v>
      </c>
      <c r="G14" s="2">
        <v>64</v>
      </c>
      <c r="H14" s="2">
        <v>65</v>
      </c>
      <c r="I14" s="2">
        <v>78</v>
      </c>
      <c r="J14" s="2">
        <v>72</v>
      </c>
    </row>
    <row r="15" spans="1:12" ht="14.25">
      <c r="A15" s="2" t="s">
        <v>46</v>
      </c>
      <c r="B15" s="2" t="s">
        <v>47</v>
      </c>
      <c r="C15" s="2" t="s">
        <v>48</v>
      </c>
      <c r="D15" s="3">
        <v>55</v>
      </c>
      <c r="E15" s="2">
        <v>73</v>
      </c>
      <c r="F15" s="2">
        <v>76</v>
      </c>
      <c r="G15" s="2">
        <v>68</v>
      </c>
      <c r="H15" s="2">
        <v>74</v>
      </c>
      <c r="I15" s="2">
        <v>60</v>
      </c>
      <c r="J15" s="2">
        <v>82</v>
      </c>
    </row>
    <row r="16" spans="1:12" ht="14.25">
      <c r="A16" s="2" t="s">
        <v>49</v>
      </c>
      <c r="B16" s="2" t="s">
        <v>50</v>
      </c>
      <c r="C16" s="2" t="s">
        <v>15</v>
      </c>
      <c r="D16" s="2">
        <v>72</v>
      </c>
      <c r="E16" s="2">
        <v>65</v>
      </c>
      <c r="F16" s="2">
        <v>60</v>
      </c>
      <c r="G16" s="2">
        <v>58</v>
      </c>
      <c r="H16" s="2">
        <v>69</v>
      </c>
      <c r="I16" s="2">
        <v>70</v>
      </c>
      <c r="J16" s="3">
        <v>44</v>
      </c>
    </row>
    <row r="17" spans="1:10" ht="14.25">
      <c r="A17" s="2" t="s">
        <v>51</v>
      </c>
      <c r="B17" s="2" t="s">
        <v>52</v>
      </c>
      <c r="C17" s="2" t="s">
        <v>24</v>
      </c>
      <c r="D17" s="2">
        <v>68</v>
      </c>
      <c r="E17" s="2">
        <v>72</v>
      </c>
      <c r="F17" s="2">
        <v>70</v>
      </c>
      <c r="G17" s="2">
        <v>66</v>
      </c>
      <c r="H17" s="2">
        <v>71</v>
      </c>
      <c r="I17" s="2">
        <v>63</v>
      </c>
      <c r="J17" s="2">
        <v>60</v>
      </c>
    </row>
    <row r="18" spans="1:10" ht="14.25">
      <c r="A18" s="2" t="s">
        <v>53</v>
      </c>
      <c r="B18" s="2" t="s">
        <v>54</v>
      </c>
      <c r="C18" s="2" t="s">
        <v>45</v>
      </c>
      <c r="D18" s="2">
        <v>64</v>
      </c>
      <c r="E18" s="2">
        <v>66</v>
      </c>
      <c r="F18" s="3">
        <v>55</v>
      </c>
      <c r="G18" s="2">
        <v>65</v>
      </c>
      <c r="H18" s="2">
        <v>68</v>
      </c>
      <c r="I18" s="2">
        <v>74</v>
      </c>
      <c r="J18" s="2">
        <v>70</v>
      </c>
    </row>
    <row r="19" spans="1:10" ht="14.25">
      <c r="A19" s="2" t="s">
        <v>55</v>
      </c>
      <c r="B19" s="2" t="s">
        <v>56</v>
      </c>
      <c r="C19" s="2" t="s">
        <v>33</v>
      </c>
      <c r="D19" s="2">
        <v>77</v>
      </c>
      <c r="E19" s="3">
        <v>55</v>
      </c>
      <c r="F19" s="2">
        <v>85</v>
      </c>
      <c r="G19" s="2">
        <v>70</v>
      </c>
      <c r="H19" s="2">
        <v>80</v>
      </c>
      <c r="I19" s="2">
        <v>66</v>
      </c>
      <c r="J19" s="2">
        <v>68</v>
      </c>
    </row>
    <row r="20" spans="1:10" ht="14.25">
      <c r="A20" s="2" t="s">
        <v>57</v>
      </c>
      <c r="B20" s="2" t="s">
        <v>58</v>
      </c>
      <c r="C20" s="2" t="s">
        <v>30</v>
      </c>
      <c r="D20" s="2">
        <v>73</v>
      </c>
      <c r="E20" s="2">
        <v>75</v>
      </c>
      <c r="F20" s="2">
        <v>70</v>
      </c>
      <c r="G20" s="2">
        <v>76</v>
      </c>
      <c r="H20" s="2">
        <v>72</v>
      </c>
      <c r="I20" s="2">
        <v>65</v>
      </c>
      <c r="J20" s="2">
        <v>67</v>
      </c>
    </row>
    <row r="21" spans="1:10" ht="14.25">
      <c r="A21" s="2" t="s">
        <v>59</v>
      </c>
      <c r="B21" s="2" t="s">
        <v>60</v>
      </c>
      <c r="C21" s="2" t="s">
        <v>21</v>
      </c>
      <c r="D21" s="3">
        <v>55</v>
      </c>
      <c r="E21" s="2">
        <v>78</v>
      </c>
      <c r="F21" s="3">
        <v>25</v>
      </c>
      <c r="G21" s="2">
        <v>82</v>
      </c>
      <c r="H21" s="3">
        <v>22</v>
      </c>
      <c r="I21" s="2">
        <v>80</v>
      </c>
      <c r="J21" s="2">
        <v>79</v>
      </c>
    </row>
    <row r="22" spans="1:10" ht="14.25">
      <c r="A22" s="2" t="s">
        <v>61</v>
      </c>
      <c r="B22" s="2" t="s">
        <v>62</v>
      </c>
      <c r="C22" s="2" t="s">
        <v>18</v>
      </c>
      <c r="D22" s="2">
        <v>74</v>
      </c>
      <c r="E22" s="2">
        <v>76</v>
      </c>
      <c r="F22" s="2">
        <v>72</v>
      </c>
      <c r="G22" s="2">
        <v>78</v>
      </c>
      <c r="H22" s="2">
        <v>75</v>
      </c>
      <c r="I22" s="2">
        <v>68</v>
      </c>
      <c r="J22" s="2">
        <v>70</v>
      </c>
    </row>
    <row r="23" spans="1:10" ht="14.25">
      <c r="A23" s="2" t="s">
        <v>63</v>
      </c>
      <c r="B23" s="2" t="s">
        <v>64</v>
      </c>
      <c r="C23" s="2" t="s">
        <v>27</v>
      </c>
      <c r="D23" s="2">
        <v>69</v>
      </c>
      <c r="E23" s="2">
        <v>70</v>
      </c>
      <c r="F23" s="2">
        <v>68</v>
      </c>
      <c r="G23" s="2">
        <v>66</v>
      </c>
      <c r="H23" s="2">
        <v>72</v>
      </c>
      <c r="I23" s="2">
        <v>74</v>
      </c>
      <c r="J23" s="2">
        <v>81</v>
      </c>
    </row>
    <row r="24" spans="1:10" ht="14.25">
      <c r="A24" s="2" t="s">
        <v>65</v>
      </c>
      <c r="B24" s="2" t="s">
        <v>66</v>
      </c>
      <c r="C24" s="2" t="s">
        <v>12</v>
      </c>
      <c r="D24" s="2">
        <v>82</v>
      </c>
      <c r="E24" s="2">
        <v>79</v>
      </c>
      <c r="F24" s="2">
        <v>84</v>
      </c>
      <c r="G24" s="2">
        <v>80</v>
      </c>
      <c r="H24" s="2">
        <v>78</v>
      </c>
      <c r="I24" s="2">
        <v>72</v>
      </c>
      <c r="J24" s="2">
        <v>73</v>
      </c>
    </row>
    <row r="25" spans="1:10" ht="14.25">
      <c r="A25" s="2" t="s">
        <v>67</v>
      </c>
      <c r="B25" s="2" t="s">
        <v>68</v>
      </c>
      <c r="C25" s="2" t="s">
        <v>36</v>
      </c>
      <c r="D25" s="2">
        <v>70</v>
      </c>
      <c r="E25" s="2">
        <v>74</v>
      </c>
      <c r="F25" s="2">
        <v>68</v>
      </c>
      <c r="G25" s="3">
        <v>55</v>
      </c>
      <c r="H25" s="2">
        <v>75</v>
      </c>
      <c r="I25" s="2">
        <v>77</v>
      </c>
      <c r="J25" s="2">
        <v>69</v>
      </c>
    </row>
    <row r="26" spans="1:10" ht="14.25">
      <c r="A26" s="2" t="s">
        <v>69</v>
      </c>
      <c r="B26" s="2" t="s">
        <v>70</v>
      </c>
      <c r="C26" s="2" t="s">
        <v>21</v>
      </c>
      <c r="D26" s="3">
        <v>55</v>
      </c>
      <c r="E26" s="2">
        <v>80</v>
      </c>
      <c r="F26" s="2">
        <v>90</v>
      </c>
      <c r="G26" s="2">
        <v>78</v>
      </c>
      <c r="H26" s="2">
        <v>84</v>
      </c>
      <c r="I26" s="2">
        <v>76</v>
      </c>
      <c r="J26" s="2">
        <v>75</v>
      </c>
    </row>
    <row r="27" spans="1:10" ht="14.25">
      <c r="A27" s="2" t="s">
        <v>71</v>
      </c>
      <c r="B27" s="2" t="s">
        <v>72</v>
      </c>
      <c r="C27" s="2" t="s">
        <v>15</v>
      </c>
      <c r="D27" s="2">
        <v>65</v>
      </c>
      <c r="E27" s="2">
        <v>70</v>
      </c>
      <c r="F27" s="2">
        <v>60</v>
      </c>
      <c r="G27" s="2">
        <v>62</v>
      </c>
      <c r="H27" s="2">
        <v>68</v>
      </c>
      <c r="I27" s="3">
        <v>55</v>
      </c>
      <c r="J27" s="2">
        <v>64</v>
      </c>
    </row>
    <row r="28" spans="1:10" ht="14.25">
      <c r="A28" s="2" t="s">
        <v>73</v>
      </c>
      <c r="B28" s="2" t="s">
        <v>74</v>
      </c>
      <c r="C28" s="2" t="s">
        <v>45</v>
      </c>
      <c r="D28" s="3">
        <v>44</v>
      </c>
      <c r="E28" s="2">
        <v>66</v>
      </c>
      <c r="F28" s="2">
        <v>70</v>
      </c>
      <c r="G28" s="2">
        <v>72</v>
      </c>
      <c r="H28" s="3">
        <v>44</v>
      </c>
      <c r="I28" s="3">
        <v>55</v>
      </c>
      <c r="J28" s="2">
        <v>74</v>
      </c>
    </row>
    <row r="29" spans="1:10" ht="14.25">
      <c r="A29" s="2" t="s">
        <v>75</v>
      </c>
      <c r="B29" s="2" t="s">
        <v>76</v>
      </c>
      <c r="C29" s="2" t="s">
        <v>18</v>
      </c>
      <c r="D29" s="2">
        <v>75</v>
      </c>
      <c r="E29" s="2">
        <v>78</v>
      </c>
      <c r="F29" s="3">
        <v>55</v>
      </c>
      <c r="G29" s="3">
        <v>44</v>
      </c>
      <c r="H29" s="2">
        <v>77</v>
      </c>
      <c r="I29" s="2">
        <v>70</v>
      </c>
      <c r="J29" s="2">
        <v>72</v>
      </c>
    </row>
    <row r="30" spans="1:10" ht="14.25">
      <c r="A30" s="2" t="s">
        <v>77</v>
      </c>
      <c r="B30" s="2" t="s">
        <v>78</v>
      </c>
      <c r="C30" s="2" t="s">
        <v>33</v>
      </c>
      <c r="D30" s="2">
        <v>80</v>
      </c>
      <c r="E30" s="2">
        <v>74</v>
      </c>
      <c r="F30" s="2">
        <v>85</v>
      </c>
      <c r="G30" s="2">
        <v>78</v>
      </c>
      <c r="H30" s="2">
        <v>82</v>
      </c>
      <c r="I30" s="2">
        <v>69</v>
      </c>
      <c r="J30" s="2">
        <v>71</v>
      </c>
    </row>
    <row r="31" spans="1:10" ht="14.25">
      <c r="A31" s="2" t="s">
        <v>79</v>
      </c>
      <c r="B31" s="2" t="s">
        <v>80</v>
      </c>
      <c r="C31" s="2" t="s">
        <v>24</v>
      </c>
      <c r="D31" s="2">
        <v>72</v>
      </c>
      <c r="E31" s="2">
        <v>75</v>
      </c>
      <c r="F31" s="2">
        <v>70</v>
      </c>
      <c r="G31" s="2">
        <v>68</v>
      </c>
      <c r="H31" s="2">
        <v>73</v>
      </c>
      <c r="I31" s="2">
        <v>77</v>
      </c>
      <c r="J31" s="2">
        <v>69</v>
      </c>
    </row>
  </sheetData>
  <dataValidations count="1">
    <dataValidation type="list" allowBlank="1" showInputMessage="1" showErrorMessage="1" sqref="A2:A31" xr:uid="{8EBC9177-F89B-4392-AD0F-D6E742F3F744}">
      <formula1>$A$2:$A$31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7370-B34E-4B9D-8B7F-3527390E126E}">
  <dimension ref="B1:M29"/>
  <sheetViews>
    <sheetView tabSelected="1" topLeftCell="A6" workbookViewId="0">
      <selection activeCell="E7" sqref="E7"/>
    </sheetView>
  </sheetViews>
  <sheetFormatPr defaultRowHeight="12.75"/>
  <cols>
    <col min="1" max="1" width="1.140625" customWidth="1"/>
    <col min="2" max="2" width="3.85546875" customWidth="1"/>
    <col min="3" max="3" width="12" bestFit="1" customWidth="1"/>
    <col min="4" max="4" width="1.5703125" bestFit="1" customWidth="1"/>
    <col min="5" max="5" width="14.140625" customWidth="1"/>
    <col min="6" max="6" width="12.42578125" customWidth="1"/>
    <col min="7" max="7" width="15.28515625" bestFit="1" customWidth="1"/>
    <col min="8" max="8" width="12.28515625" customWidth="1"/>
    <col min="10" max="10" width="5.5703125" customWidth="1"/>
    <col min="11" max="11" width="7.5703125" customWidth="1"/>
    <col min="12" max="12" width="1.5703125" customWidth="1"/>
    <col min="13" max="13" width="2.5703125" hidden="1" customWidth="1"/>
  </cols>
  <sheetData>
    <row r="1" spans="2:13" ht="5.25" customHeight="1"/>
    <row r="2" spans="2:13" ht="7.5" customHeight="1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13" ht="36" customHeight="1">
      <c r="B3" s="5"/>
      <c r="C3" s="9" t="s">
        <v>81</v>
      </c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2:13" ht="15.75" customHeight="1">
      <c r="B4" s="5"/>
      <c r="C4" s="19" t="s">
        <v>82</v>
      </c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2:13" ht="28.5" customHeight="1">
      <c r="B5" s="5"/>
      <c r="C5" s="11" t="s">
        <v>83</v>
      </c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2:13"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2:13" ht="18" customHeight="1">
      <c r="B7" s="5"/>
      <c r="C7" s="7" t="s">
        <v>0</v>
      </c>
      <c r="D7" s="7" t="s">
        <v>84</v>
      </c>
      <c r="E7" s="8" t="s">
        <v>19</v>
      </c>
      <c r="F7" s="4"/>
      <c r="G7" s="4"/>
      <c r="H7" s="4"/>
      <c r="I7" s="4"/>
      <c r="J7" s="4"/>
      <c r="K7" s="4"/>
      <c r="L7" s="4"/>
      <c r="M7" s="4"/>
    </row>
    <row r="8" spans="2:13" ht="18" customHeight="1">
      <c r="B8" s="5"/>
      <c r="C8" s="7" t="s">
        <v>1</v>
      </c>
      <c r="D8" s="7" t="s">
        <v>84</v>
      </c>
      <c r="E8" s="8" t="str">
        <f>VLOOKUP($E$7,datatable,MATCH(C8,Table1[#Headers],0),0)</f>
        <v>Ibrahim Bello</v>
      </c>
      <c r="F8" s="4"/>
      <c r="G8" s="4"/>
      <c r="H8" s="4"/>
      <c r="I8" s="4"/>
      <c r="J8" s="4"/>
      <c r="K8" s="4"/>
      <c r="L8" s="4"/>
      <c r="M8" s="4"/>
    </row>
    <row r="9" spans="2:13" ht="18" customHeight="1">
      <c r="B9" s="5"/>
      <c r="C9" s="7" t="s">
        <v>2</v>
      </c>
      <c r="D9" s="7" t="s">
        <v>84</v>
      </c>
      <c r="E9" s="8" t="str">
        <f>VLOOKUP($E$7,datatable,MATCH(C9,Table1[#Headers],0),0)</f>
        <v>Engineering</v>
      </c>
      <c r="F9" s="4"/>
      <c r="G9" s="4"/>
      <c r="H9" s="4"/>
      <c r="I9" s="4"/>
      <c r="J9" s="4"/>
      <c r="K9" s="4"/>
      <c r="L9" s="4"/>
      <c r="M9" s="4"/>
    </row>
    <row r="10" spans="2:13">
      <c r="B10" s="5"/>
      <c r="C10" s="6"/>
      <c r="D10" s="6"/>
      <c r="E10" s="4"/>
      <c r="F10" s="4"/>
      <c r="G10" s="4"/>
      <c r="H10" s="4"/>
      <c r="I10" s="4"/>
      <c r="J10" s="4"/>
      <c r="K10" s="4"/>
      <c r="L10" s="4"/>
      <c r="M10" s="4"/>
    </row>
    <row r="11" spans="2:13" ht="26.25" customHeight="1">
      <c r="B11" s="5"/>
      <c r="C11" s="6"/>
      <c r="D11" s="6"/>
      <c r="E11" s="14" t="s">
        <v>85</v>
      </c>
      <c r="F11" s="14" t="s">
        <v>86</v>
      </c>
      <c r="G11" s="14" t="s">
        <v>87</v>
      </c>
      <c r="H11" s="14" t="s">
        <v>88</v>
      </c>
      <c r="I11" s="4"/>
      <c r="J11" s="4"/>
      <c r="K11" s="4"/>
      <c r="L11" s="4"/>
      <c r="M11" s="4"/>
    </row>
    <row r="12" spans="2:13" ht="19.5" customHeight="1">
      <c r="B12" s="5"/>
      <c r="C12" s="6"/>
      <c r="D12" s="6"/>
      <c r="E12" s="12" t="s">
        <v>3</v>
      </c>
      <c r="F12" s="13">
        <f>VLOOKUP($E$7,datatable,MATCH(E12,Database!$A$1:$J$1,0),FALSE)</f>
        <v>90</v>
      </c>
      <c r="G12" s="15">
        <f>F12/100</f>
        <v>0.9</v>
      </c>
      <c r="H12" s="13" t="str">
        <f>IF(F12&lt;50,"Fail","Pass")</f>
        <v>Pass</v>
      </c>
      <c r="I12" s="4"/>
      <c r="J12" s="4"/>
      <c r="K12" s="4"/>
      <c r="L12" s="4"/>
      <c r="M12" s="4"/>
    </row>
    <row r="13" spans="2:13" ht="20.25" customHeight="1">
      <c r="B13" s="5"/>
      <c r="C13" s="6"/>
      <c r="D13" s="6"/>
      <c r="E13" s="12" t="s">
        <v>4</v>
      </c>
      <c r="F13" s="13">
        <f>VLOOKUP($E$7,datatable,MATCH(E13,Database!$A$1:$J$1,0),FALSE)</f>
        <v>76</v>
      </c>
      <c r="G13" s="15">
        <f t="shared" ref="G13:G17" si="0">F13/100</f>
        <v>0.76</v>
      </c>
      <c r="H13" s="13" t="str">
        <f t="shared" ref="H13:H18" si="1">IF(F13&lt;50,"Fail","Pass")</f>
        <v>Pass</v>
      </c>
      <c r="I13" s="4"/>
      <c r="J13" s="18" t="s">
        <v>93</v>
      </c>
      <c r="K13" s="18"/>
      <c r="L13" s="4"/>
      <c r="M13" s="4"/>
    </row>
    <row r="14" spans="2:13" ht="18.75" customHeight="1">
      <c r="B14" s="5"/>
      <c r="C14" s="6"/>
      <c r="D14" s="6"/>
      <c r="E14" s="12" t="s">
        <v>5</v>
      </c>
      <c r="F14" s="13">
        <f>VLOOKUP($E$7,datatable,MATCH(E14,Database!$A$1:$J$1,0),FALSE)</f>
        <v>88</v>
      </c>
      <c r="G14" s="15">
        <f t="shared" si="0"/>
        <v>0.88</v>
      </c>
      <c r="H14" s="13" t="str">
        <f t="shared" si="1"/>
        <v>Pass</v>
      </c>
      <c r="I14" s="4"/>
      <c r="J14" s="16">
        <v>0.4</v>
      </c>
      <c r="K14" s="17" t="s">
        <v>96</v>
      </c>
      <c r="L14" s="4"/>
      <c r="M14" s="4"/>
    </row>
    <row r="15" spans="2:13" ht="21.75" customHeight="1">
      <c r="B15" s="5"/>
      <c r="C15" s="6"/>
      <c r="D15" s="6"/>
      <c r="E15" s="12" t="s">
        <v>6</v>
      </c>
      <c r="F15" s="13">
        <f>VLOOKUP($E$7,datatable,MATCH(E15,Database!$A$1:$J$1,0),FALSE)</f>
        <v>55</v>
      </c>
      <c r="G15" s="15">
        <f t="shared" si="0"/>
        <v>0.55000000000000004</v>
      </c>
      <c r="H15" s="13" t="str">
        <f t="shared" si="1"/>
        <v>Pass</v>
      </c>
      <c r="I15" s="4"/>
      <c r="J15" s="16">
        <v>0.5</v>
      </c>
      <c r="K15" s="17" t="s">
        <v>94</v>
      </c>
      <c r="L15" s="4"/>
      <c r="M15" s="4"/>
    </row>
    <row r="16" spans="2:13" ht="19.5" customHeight="1">
      <c r="B16" s="5"/>
      <c r="C16" s="6"/>
      <c r="D16" s="6"/>
      <c r="E16" s="12" t="s">
        <v>7</v>
      </c>
      <c r="F16" s="13">
        <f>VLOOKUP($E$7,datatable,MATCH(E16,Database!$A$1:$J$1,0),FALSE)</f>
        <v>84</v>
      </c>
      <c r="G16" s="15">
        <f t="shared" si="0"/>
        <v>0.84</v>
      </c>
      <c r="H16" s="13" t="str">
        <f t="shared" si="1"/>
        <v>Pass</v>
      </c>
      <c r="I16" s="4"/>
      <c r="J16" s="16">
        <v>0.6</v>
      </c>
      <c r="K16" s="17" t="s">
        <v>95</v>
      </c>
      <c r="L16" s="4"/>
      <c r="M16" s="4"/>
    </row>
    <row r="17" spans="2:13" ht="18.75" customHeight="1">
      <c r="B17" s="5"/>
      <c r="C17" s="6"/>
      <c r="D17" s="6"/>
      <c r="E17" s="12" t="s">
        <v>8</v>
      </c>
      <c r="F17" s="13">
        <f>VLOOKUP($E$7,datatable,MATCH(E17,Database!$A$1:$J$1,0),FALSE)</f>
        <v>73</v>
      </c>
      <c r="G17" s="15">
        <f t="shared" si="0"/>
        <v>0.73</v>
      </c>
      <c r="H17" s="13" t="str">
        <f t="shared" si="1"/>
        <v>Pass</v>
      </c>
      <c r="I17" s="4"/>
      <c r="J17" s="16">
        <v>0.7</v>
      </c>
      <c r="K17" s="17" t="s">
        <v>97</v>
      </c>
      <c r="L17" s="4"/>
      <c r="M17" s="4"/>
    </row>
    <row r="18" spans="2:13" ht="20.25" customHeight="1">
      <c r="B18" s="5"/>
      <c r="C18" s="6"/>
      <c r="D18" s="6"/>
      <c r="E18" s="12" t="s">
        <v>9</v>
      </c>
      <c r="F18" s="13">
        <f>VLOOKUP($E$7,datatable,MATCH(E18,Database!$A$1:$J$1,0),FALSE)</f>
        <v>75</v>
      </c>
      <c r="G18" s="15">
        <f>F18/100</f>
        <v>0.75</v>
      </c>
      <c r="H18" s="13" t="str">
        <f t="shared" si="1"/>
        <v>Pass</v>
      </c>
      <c r="I18" s="4"/>
      <c r="J18" s="16">
        <v>0.8</v>
      </c>
      <c r="K18" s="17" t="s">
        <v>98</v>
      </c>
      <c r="L18" s="4"/>
      <c r="M18" s="4"/>
    </row>
    <row r="19" spans="2:13"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2:13">
      <c r="B20" s="5"/>
      <c r="C20" s="4"/>
      <c r="D20" s="4"/>
      <c r="E20" s="4"/>
      <c r="F20" s="4"/>
      <c r="G20" s="17" t="s">
        <v>91</v>
      </c>
      <c r="H20" s="17">
        <f>SUM(F12:F18)</f>
        <v>541</v>
      </c>
      <c r="I20" s="4"/>
      <c r="J20" s="4"/>
      <c r="K20" s="4"/>
      <c r="L20" s="4"/>
      <c r="M20" s="4"/>
    </row>
    <row r="21" spans="2:13">
      <c r="B21" s="5"/>
      <c r="C21" s="4"/>
      <c r="D21" s="4"/>
      <c r="E21" s="4"/>
      <c r="F21" s="4"/>
      <c r="G21" s="17" t="s">
        <v>92</v>
      </c>
      <c r="H21" s="16">
        <f>H20/700</f>
        <v>0.77285714285714291</v>
      </c>
      <c r="I21" s="4"/>
      <c r="J21" s="4"/>
      <c r="K21" s="4"/>
      <c r="L21" s="4"/>
      <c r="M21" s="4"/>
    </row>
    <row r="22" spans="2:13"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2:13">
      <c r="B23" s="5"/>
      <c r="C23" s="4"/>
      <c r="D23" s="4"/>
      <c r="E23" s="17" t="s">
        <v>89</v>
      </c>
      <c r="F23" s="17" t="str">
        <f>IF(H21&lt;50%,"Fail","Pass")</f>
        <v>Pass</v>
      </c>
      <c r="G23" s="4"/>
      <c r="H23" s="4"/>
      <c r="I23" s="4"/>
      <c r="J23" s="4"/>
      <c r="K23" s="4"/>
      <c r="L23" s="4"/>
      <c r="M23" s="4"/>
    </row>
    <row r="24" spans="2:13">
      <c r="B24" s="5"/>
      <c r="C24" s="4"/>
      <c r="D24" s="4"/>
      <c r="E24" s="17" t="s">
        <v>90</v>
      </c>
      <c r="F24" s="17" t="str">
        <f>VLOOKUP(H21,J14:K18,2,TRUE)</f>
        <v>B</v>
      </c>
      <c r="G24" s="4"/>
      <c r="H24" s="4"/>
      <c r="I24" s="4"/>
      <c r="J24" s="4"/>
      <c r="K24" s="4"/>
      <c r="L24" s="4"/>
      <c r="M24" s="4"/>
    </row>
    <row r="25" spans="2:13"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2:13"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2:13"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2:13"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2:13"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</sheetData>
  <mergeCells count="4">
    <mergeCell ref="C3:M3"/>
    <mergeCell ref="C4:M4"/>
    <mergeCell ref="C5:M5"/>
    <mergeCell ref="J13:K13"/>
  </mergeCells>
  <pageMargins left="0.25" right="0.25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CEE98-A5A7-4A54-A457-D85BC452FF6F}">
          <x14:formula1>
            <xm:f>Database!$A$2:$A$31</xm:f>
          </x14:formula1>
          <xm:sqref>E7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D39A355080C45AB74C82FF1E3E82A" ma:contentTypeVersion="7" ma:contentTypeDescription="Create a new document." ma:contentTypeScope="" ma:versionID="2dad8da38e69b64d21c305678dae0be7">
  <xsd:schema xmlns:xsd="http://www.w3.org/2001/XMLSchema" xmlns:xs="http://www.w3.org/2001/XMLSchema" xmlns:p="http://schemas.microsoft.com/office/2006/metadata/properties" xmlns:ns2="6e0a9b9c-4ed8-4e9f-8162-c5b27aabdd60" targetNamespace="http://schemas.microsoft.com/office/2006/metadata/properties" ma:root="true" ma:fieldsID="be9a6167c0c2a6724675cfc81f59e3cf" ns2:_="">
    <xsd:import namespace="6e0a9b9c-4ed8-4e9f-8162-c5b27aabd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a9b9c-4ed8-4e9f-8162-c5b27aabd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6154E7-A51F-4A14-BCBF-5616579110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821F9B-B1E0-40B8-A79F-B7E237739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a9b9c-4ed8-4e9f-8162-c5b27aabd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310749-3EFE-4291-B98E-B2C89E47D4C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Database</vt:lpstr>
      <vt:lpstr>Report card</vt:lpstr>
      <vt:lpstr>datatable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Abdulmutalib Salihu</cp:lastModifiedBy>
  <cp:lastPrinted>2026-05-09T16:03:07Z</cp:lastPrinted>
  <dcterms:modified xsi:type="dcterms:W3CDTF">2026-05-09T16:15:45Z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0x010100F86D39A355080C45AB74C82FF1E3E82A</vt:lpwstr>
  </property>
</Properties>
</file>