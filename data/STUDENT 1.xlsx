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cuments\Student\data\"/>
    </mc:Choice>
  </mc:AlternateContent>
  <xr:revisionPtr revIDLastSave="0" documentId="13_ncr:1_{9547ABB5-C7BD-4B6F-81F6-671E9504629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base" sheetId="1" r:id="rId1"/>
    <sheet name="Report card" sheetId="3" r:id="rId2"/>
  </sheets>
  <definedNames>
    <definedName name="datatable">Table1[#All]</definedName>
    <definedName name="TABLE">Table1[[#Headers],[STUDENT ID]]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3" l="1" a="1"/>
  <c r="F24" i="3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F13" i="3"/>
  <c r="H13" i="3" s="1" a="1"/>
  <c r="H13" i="3" s="1"/>
  <c r="F14" i="3"/>
  <c r="H14" i="3" s="1" a="1"/>
  <c r="H14" i="3" s="1"/>
  <c r="F15" i="3"/>
  <c r="H15" i="3" s="1" a="1"/>
  <c r="H15" i="3" s="1"/>
  <c r="F16" i="3"/>
  <c r="H16" i="3" s="1" a="1"/>
  <c r="H16" i="3" s="1"/>
  <c r="F17" i="3"/>
  <c r="H17" i="3" s="1" a="1"/>
  <c r="H17" i="3" s="1"/>
  <c r="F18" i="3"/>
  <c r="H18" i="3" s="1" a="1"/>
  <c r="H18" i="3" s="1"/>
  <c r="F12" i="3"/>
  <c r="H12" i="3" s="1" a="1"/>
  <c r="H12" i="3" s="1"/>
  <c r="E8" i="3"/>
  <c r="E9" i="3"/>
  <c r="H20" i="3" l="1"/>
  <c r="G15" i="3"/>
  <c r="G18" i="3"/>
  <c r="G14" i="3"/>
  <c r="G16" i="3"/>
  <c r="G12" i="3"/>
  <c r="G17" i="3"/>
  <c r="G13" i="3"/>
  <c r="H21" i="3" l="1"/>
  <c r="F2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<sst xmlns="http://schemas.openxmlformats.org/spreadsheetml/2006/main" count="149" uniqueCount="112">
  <si>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</si>
  <si>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</si>
  <si>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</si>
  <si>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</si>
  <si>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</si>
  <si>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</si>
  <si>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</si>
  <si>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</si>
  <si>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</si>
  <si>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</si>
  <si>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</si>
  <si>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</si>
  <si>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</si>
  <si>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</si>
  <si>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</si>
  <si>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</si>
  <si>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</si>
  <si>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</si>
  <si>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</si>
  <si>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</si>
  <si>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</si>
  <si>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</si>
  <si>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</si>
  <si>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</si>
  <si>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</si>
  <si>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</si>
  <si>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</si>
  <si>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</si>
  <si>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</si>
  <si>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</si>
  <si>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</si>
  <si>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</si>
  <si>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</si>
  <si>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</si>
  <si>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</si>
  <si>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</si>
  <si>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</si>
  <si>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</si>
  <si>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</si>
  <si>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</si>
  <si>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</si>
  <si>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</si>
  <si>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</si>
  <si>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</si>
  <si>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</si>
  <si>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</si>
  <si>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</si>
  <si>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</si>
  <si>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</si>
  <si>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</si>
  <si>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</si>
  <si>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</si>
  <si>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</si>
  <si>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</si>
  <si>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</si>
  <si>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</si>
  <si>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</si>
  <si>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</si>
  <si>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</si>
  <si>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</si>
  <si>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</si>
  <si>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</si>
  <si>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</si>
  <si>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</si>
  <si>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</si>
  <si>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</si>
  <si>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</si>
  <si>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</si>
  <si>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</si>
  <si>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</si>
  <si>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</si>
  <si>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</si>
  <si>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</si>
  <si>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</si>
  <si>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</si>
  <si>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</si>
  <si>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</si>
  <si>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</si>
  <si>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</si>
  <si>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</si>
  <si>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</si>
  <si>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>SIR EKKAN PRIMARY SCHOOL</t>
  </si>
  <si>
    <t xml:space="preserve">After Event center, Murtala way Bauchi, Bauchi State- nigeria </t>
  </si>
  <si>
    <t>Report Card</t>
  </si>
  <si>
    <t>:</t>
  </si>
  <si>
    <t>SUBJECT</t>
  </si>
  <si>
    <t>Marks obtained</t>
  </si>
  <si>
    <t>Percentage</t>
  </si>
  <si>
    <t>Final Result</t>
  </si>
  <si>
    <t>Obtained Marks</t>
  </si>
  <si>
    <t>percetage</t>
  </si>
  <si>
    <t>Grade Table</t>
  </si>
  <si>
    <t>D</t>
  </si>
  <si>
    <t>C</t>
  </si>
  <si>
    <t>F</t>
  </si>
  <si>
    <t>B</t>
  </si>
  <si>
    <t>A</t>
  </si>
  <si>
    <t>80-100</t>
  </si>
  <si>
    <t>V.Good</t>
  </si>
  <si>
    <t>Good</t>
  </si>
  <si>
    <t>Pass</t>
  </si>
  <si>
    <t>Fail</t>
  </si>
  <si>
    <t>45-54</t>
  </si>
  <si>
    <t>Excellent</t>
  </si>
  <si>
    <t>Remark</t>
  </si>
  <si>
    <t>65-79</t>
  </si>
  <si>
    <t>55-64</t>
  </si>
  <si>
    <t>35-44</t>
  </si>
  <si>
    <t>TOTAL</t>
  </si>
  <si>
    <t>AVARAGE</t>
  </si>
  <si>
    <t>POSITION</t>
  </si>
  <si>
    <t>Final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</si>
</sst>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  <font>
      <sz val="10"/>
      <color rgb="FF00B05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2"/>
      <color theme="9" tint="-0.499984740745262"/>
      <name val="Britannic Bold"/>
      <family val="2"/>
    </font>
    <font>
      <b/>
      <sz val="26"/>
      <color theme="9" tint="-0.499984740745262"/>
      <name val="Britannic Bold"/>
      <family val="2"/>
    </font>
    <font>
      <sz val="18"/>
      <name val="Impact"/>
      <family val="2"/>
    </font>
    <font>
      <b/>
      <sz val="11"/>
      <name val="Arial"/>
      <family val="2"/>
      <scheme val="minor"/>
    </font>
    <font>
      <sz val="10"/>
      <color theme="4" tint="-0.249977111117893"/>
      <name val="Britannic Bold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0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7" fillId="2" borderId="0" xfId="0" applyFont="1" applyFill="1" applyAlignment="1"/>
    <xf numFmtId="0" fontId="7" fillId="2" borderId="2" xfId="0" applyFont="1" applyFill="1" applyBorder="1" applyAlignment="1"/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9" fontId="7" fillId="2" borderId="2" xfId="0" applyNumberFormat="1" applyFont="1" applyFill="1" applyBorder="1" applyAlignment="1">
      <alignment horizontal="center"/>
    </xf>
    <xf numFmtId="9" fontId="6" fillId="2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3" fillId="0" borderId="0" xfId="0" applyFont="1" applyAlignment="1"/>
    <xf numFmtId="1" fontId="6" fillId="2" borderId="2" xfId="0" applyNumberFormat="1" applyFont="1" applyFill="1" applyBorder="1" applyAlignment="1">
      <alignment horizontal="center"/>
    </xf>
    <xf numFmtId="1" fontId="2" fillId="0" borderId="0" xfId="0" applyNumberFormat="1" applyFont="1" applyAlignment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26</xdr:row>
      <xdr:rowOff>114300</xdr:rowOff>
    </xdr:from>
    <xdr:to>
      <xdr:col>10</xdr:col>
      <xdr:colOff>352425</xdr:colOff>
      <xdr:row>28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6F92A6-70B6-DA6F-116C-9DA9A65F85BE}"/>
            </a:ext>
          </a:extLst>
        </xdr:cNvPr>
        <xdr:cNvSpPr txBox="1"/>
      </xdr:nvSpPr>
      <xdr:spPr>
        <a:xfrm>
          <a:off x="4352925" y="5695950"/>
          <a:ext cx="1666875" cy="266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Prinipal</a:t>
          </a:r>
          <a:endParaRPr lang="en-GB" sz="1200" b="1"/>
        </a:p>
      </xdr:txBody>
    </xdr:sp>
    <xdr:clientData/>
  </xdr:twoCellAnchor>
  <xdr:twoCellAnchor>
    <xdr:from>
      <xdr:col>2</xdr:col>
      <xdr:colOff>333375</xdr:colOff>
      <xdr:row>26</xdr:row>
      <xdr:rowOff>47625</xdr:rowOff>
    </xdr:from>
    <xdr:to>
      <xdr:col>4</xdr:col>
      <xdr:colOff>752475</xdr:colOff>
      <xdr:row>28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2C8480-FEBF-7F35-A3EF-3C66BB48F757}"/>
            </a:ext>
          </a:extLst>
        </xdr:cNvPr>
        <xdr:cNvSpPr txBox="1"/>
      </xdr:nvSpPr>
      <xdr:spPr>
        <a:xfrm>
          <a:off x="666750" y="5257800"/>
          <a:ext cx="1323975" cy="2762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ysClr val="windowText" lastClr="000000"/>
              </a:solidFill>
            </a:rPr>
            <a:t>Teacher</a:t>
          </a:r>
        </a:p>
      </xdr:txBody>
    </xdr:sp>
    <xdr:clientData/>
  </xdr:twoCellAnchor>
  <xdr:twoCellAnchor editAs="oneCell">
    <xdr:from>
      <xdr:col>0</xdr:col>
      <xdr:colOff>0</xdr:colOff>
      <xdr:row>1</xdr:row>
      <xdr:rowOff>41563</xdr:rowOff>
    </xdr:from>
    <xdr:to>
      <xdr:col>4</xdr:col>
      <xdr:colOff>332103</xdr:colOff>
      <xdr:row>4</xdr:row>
      <xdr:rowOff>314326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8532F6-9833-35A3-F89A-4801EEB9B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238"/>
          <a:ext cx="1570353" cy="1025238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CDCA57-AD83-407E-A192-736CB1A2357F}" name="Table1" displayName="Table1" ref="A1:M49" totalsRowShown="0" headerRowDxfId="14" dataDxfId="13">
  <autoFilter ref="A1:M49" xr:uid="{19CDCA57-AD83-407E-A192-736CB1A235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CDB2962-2728-4ADC-82B0-B2BD14663953}" name="STUDENT ID" dataDxfId="12"/>
    <tableColumn id="2" xr3:uid="{C243FF5D-E0B5-48B4-BACB-4C2ADB784F88}" name="NAME" dataDxfId="11"/>
    <tableColumn id="3" xr3:uid="{7C0F347B-6BD3-4CE8-9DF4-4012236CD151}" name="DEPT" dataDxfId="10"/>
    <tableColumn id="4" xr3:uid="{79D9867B-9D81-433B-A727-6B568209218F}" name="MATHS" dataDxfId="9"/>
    <tableColumn id="5" xr3:uid="{4A71705F-D78D-44BE-8609-671C31F4ADC0}" name="ENGLISH" dataDxfId="8"/>
    <tableColumn id="6" xr3:uid="{9AEC0370-122D-4CF6-A6BE-C61D8EBA85F0}" name="PHY" dataDxfId="7"/>
    <tableColumn id="7" xr3:uid="{90388BB3-21B4-4194-93AC-F0DD4E185CA4}" name="BIO" dataDxfId="6"/>
    <tableColumn id="8" xr3:uid="{F4598F2D-1CE4-4A28-A409-FEC983044EF2}" name="CHE" dataDxfId="5"/>
    <tableColumn id="9" xr3:uid="{CFDA5C7A-334A-432A-AE12-7CB1D7120C91}" name="AGRIC" dataDxfId="4"/>
    <tableColumn id="10" xr3:uid="{0A55B382-9B02-49F4-9794-C9869E88D77A}" name="GEO" dataDxfId="3"/>
    <tableColumn id="11" xr3:uid="{D9DC1C68-7204-471E-9161-46C8865F7B4D}" name="TOTAL" dataDxfId="2">
      <calculatedColumnFormula>SUM(Table1[[#This Row],[MATHS]:[GEO]])</calculatedColumnFormula>
    </tableColumn>
    <tableColumn id="12" xr3:uid="{13237316-CA79-420F-9C6E-FC139553E0CA}" name="AVARAGE" dataDxfId="1">
      <calculatedColumnFormula>AVERAGE(Table1[[#This Row],[MATHS]:[GEO]])</calculatedColumnFormula>
    </tableColumn>
    <tableColumn id="13" xr3:uid="{AD1CA77D-E667-4185-8B01-E6D96A32B58B}" name="POSITION" dataDxfId="0">
      <calculatedColumnFormula>RANK(Table1[[#This Row],[TOTAL]],Table1[TOTAL],0)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9"/>
  <sheetViews>
    <sheetView topLeftCell="D1" workbookViewId="0">
      <selection activeCell="Q1" sqref="Q1"/>
    </sheetView>
  </sheetViews>
  <sheetFormatPr defaultColWidth="12.5703125" defaultRowHeight="15.75" customHeight="1"/>
  <cols>
    <col min="1" max="1" width="16.28515625" customWidth="1"/>
    <col min="2" max="2" width="16.85546875" bestFit="1" customWidth="1"/>
    <col min="3" max="3" width="18.7109375" bestFit="1" customWidth="1"/>
    <col min="4" max="4" width="10.7109375" customWidth="1"/>
    <col min="5" max="5" width="12.7109375" customWidth="1"/>
    <col min="6" max="6" width="7.5703125" customWidth="1"/>
    <col min="7" max="7" width="7" customWidth="1"/>
    <col min="8" max="8" width="7.7109375" customWidth="1"/>
    <col min="9" max="9" width="9.85546875" customWidth="1"/>
    <col min="10" max="10" width="8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108</v>
      </c>
      <c r="L1" s="1" t="s">
        <v>109</v>
      </c>
      <c r="M1" s="1" t="s">
        <v>110</v>
      </c>
    </row>
    <row r="2" spans="1:16" ht="14.25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  <c r="K2" s="2">
        <f>SUM(Table1[[#This Row],[MATHS]:[GEO]])</f>
        <v>445</v>
      </c>
      <c r="L2" s="17">
        <f>AVERAGE(Table1[[#This Row],[MATHS]:[GEO]])</f>
        <v>63.571428571428569</v>
      </c>
      <c r="M2" s="2"/>
    </row>
    <row r="3" spans="1:16" ht="14.25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  <c r="K3" s="2">
        <f>SUM(Table1[[#This Row],[MATHS]:[GEO]])</f>
        <v>412</v>
      </c>
      <c r="L3" s="17">
        <f>AVERAGE(Table1[[#This Row],[MATHS]:[GEO]])</f>
        <v>58.857142857142854</v>
      </c>
      <c r="M3" s="2"/>
    </row>
    <row r="4" spans="1:16" ht="14.25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  <c r="K4" s="2">
        <f>SUM(Table1[[#This Row],[MATHS]:[GEO]])</f>
        <v>549</v>
      </c>
      <c r="L4" s="17">
        <f>AVERAGE(Table1[[#This Row],[MATHS]:[GEO]])</f>
        <v>78.428571428571431</v>
      </c>
      <c r="M4" s="2"/>
    </row>
    <row r="5" spans="1:16" ht="14.25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  <c r="K5" s="2">
        <f>SUM(Table1[[#This Row],[MATHS]:[GEO]])</f>
        <v>541</v>
      </c>
      <c r="L5" s="17">
        <f>AVERAGE(Table1[[#This Row],[MATHS]:[GEO]])</f>
        <v>77.285714285714292</v>
      </c>
      <c r="M5" s="2"/>
    </row>
    <row r="6" spans="1:16" ht="14.25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  <c r="K6" s="2">
        <f>SUM(Table1[[#This Row],[MATHS]:[GEO]])</f>
        <v>439</v>
      </c>
      <c r="L6" s="17">
        <f>AVERAGE(Table1[[#This Row],[MATHS]:[GEO]])</f>
        <v>62.714285714285715</v>
      </c>
      <c r="M6" s="2"/>
    </row>
    <row r="7" spans="1:16" ht="14.25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  <c r="K7" s="2">
        <f>SUM(Table1[[#This Row],[MATHS]:[GEO]])</f>
        <v>455</v>
      </c>
      <c r="L7" s="17">
        <f>AVERAGE(Table1[[#This Row],[MATHS]:[GEO]])</f>
        <v>65</v>
      </c>
      <c r="M7" s="2"/>
    </row>
    <row r="8" spans="1:16" ht="14.25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  <c r="K8" s="2">
        <f>SUM(Table1[[#This Row],[MATHS]:[GEO]])</f>
        <v>494</v>
      </c>
      <c r="L8" s="17">
        <f>AVERAGE(Table1[[#This Row],[MATHS]:[GEO]])</f>
        <v>70.571428571428569</v>
      </c>
      <c r="M8" s="2"/>
    </row>
    <row r="9" spans="1:16" ht="14.25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  <c r="K9" s="2">
        <f>SUM(Table1[[#This Row],[MATHS]:[GEO]])</f>
        <v>483</v>
      </c>
      <c r="L9" s="17">
        <f>AVERAGE(Table1[[#This Row],[MATHS]:[GEO]])</f>
        <v>69</v>
      </c>
      <c r="M9" s="2"/>
    </row>
    <row r="10" spans="1:16" ht="14.25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  <c r="K10" s="2">
        <f>SUM(Table1[[#This Row],[MATHS]:[GEO]])</f>
        <v>500</v>
      </c>
      <c r="L10" s="17">
        <f>AVERAGE(Table1[[#This Row],[MATHS]:[GEO]])</f>
        <v>71.428571428571431</v>
      </c>
      <c r="M10" s="2"/>
    </row>
    <row r="11" spans="1:16" ht="14.25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  <c r="K11" s="2">
        <f>SUM(Table1[[#This Row],[MATHS]:[GEO]])</f>
        <v>482</v>
      </c>
      <c r="L11" s="17">
        <f>AVERAGE(Table1[[#This Row],[MATHS]:[GEO]])</f>
        <v>68.857142857142861</v>
      </c>
      <c r="M11" s="2"/>
    </row>
    <row r="12" spans="1:16" ht="14.25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  <c r="K12" s="2">
        <f>SUM(Table1[[#This Row],[MATHS]:[GEO]])</f>
        <v>461</v>
      </c>
      <c r="L12" s="17">
        <f>AVERAGE(Table1[[#This Row],[MATHS]:[GEO]])</f>
        <v>65.857142857142861</v>
      </c>
      <c r="M12" s="2"/>
    </row>
    <row r="13" spans="1:16" ht="14.25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  <c r="K13" s="2">
        <f>SUM(Table1[[#This Row],[MATHS]:[GEO]])</f>
        <v>497</v>
      </c>
      <c r="L13" s="17">
        <f>AVERAGE(Table1[[#This Row],[MATHS]:[GEO]])</f>
        <v>71</v>
      </c>
      <c r="M13" s="2"/>
      <c r="N13">
        <v>80</v>
      </c>
      <c r="O13" s="15" t="s">
        <v>103</v>
      </c>
      <c r="P13" s="15" t="s">
        <v>96</v>
      </c>
    </row>
    <row r="14" spans="1:16" ht="14.25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  <c r="K14" s="2">
        <f>SUM(Table1[[#This Row],[MATHS]:[GEO]])</f>
        <v>475</v>
      </c>
      <c r="L14" s="17">
        <f>AVERAGE(Table1[[#This Row],[MATHS]:[GEO]])</f>
        <v>67.857142857142861</v>
      </c>
      <c r="M14" s="2"/>
      <c r="N14">
        <v>65</v>
      </c>
      <c r="O14" t="s">
        <v>98</v>
      </c>
      <c r="P14" s="15" t="s">
        <v>95</v>
      </c>
    </row>
    <row r="15" spans="1:16" ht="14.25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  <c r="K15" s="2">
        <f>SUM(Table1[[#This Row],[MATHS]:[GEO]])</f>
        <v>488</v>
      </c>
      <c r="L15" s="17">
        <f>AVERAGE(Table1[[#This Row],[MATHS]:[GEO]])</f>
        <v>69.714285714285708</v>
      </c>
      <c r="M15" s="2"/>
      <c r="N15">
        <v>55</v>
      </c>
      <c r="O15" t="s">
        <v>99</v>
      </c>
      <c r="P15" s="15" t="s">
        <v>93</v>
      </c>
    </row>
    <row r="16" spans="1:16" ht="14.25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  <c r="K16" s="2">
        <f>SUM(Table1[[#This Row],[MATHS]:[GEO]])</f>
        <v>438</v>
      </c>
      <c r="L16" s="17">
        <f>AVERAGE(Table1[[#This Row],[MATHS]:[GEO]])</f>
        <v>62.571428571428569</v>
      </c>
      <c r="M16" s="2"/>
      <c r="N16">
        <v>45</v>
      </c>
      <c r="O16" t="s">
        <v>100</v>
      </c>
      <c r="P16" s="15" t="s">
        <v>92</v>
      </c>
    </row>
    <row r="17" spans="1:16" ht="14.25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  <c r="K17" s="2">
        <f>SUM(Table1[[#This Row],[MATHS]:[GEO]])</f>
        <v>470</v>
      </c>
      <c r="L17" s="17">
        <f>AVERAGE(Table1[[#This Row],[MATHS]:[GEO]])</f>
        <v>67.142857142857139</v>
      </c>
      <c r="M17" s="2"/>
      <c r="N17">
        <v>35</v>
      </c>
      <c r="O17" t="s">
        <v>101</v>
      </c>
      <c r="P17" s="15" t="s">
        <v>94</v>
      </c>
    </row>
    <row r="18" spans="1:16" ht="14.25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  <c r="K18" s="2">
        <f>SUM(Table1[[#This Row],[MATHS]:[GEO]])</f>
        <v>462</v>
      </c>
      <c r="L18" s="17">
        <f>AVERAGE(Table1[[#This Row],[MATHS]:[GEO]])</f>
        <v>66</v>
      </c>
      <c r="M18" s="2"/>
    </row>
    <row r="19" spans="1:16" ht="14.25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  <c r="K19" s="2">
        <f>SUM(Table1[[#This Row],[MATHS]:[GEO]])</f>
        <v>501</v>
      </c>
      <c r="L19" s="17">
        <f>AVERAGE(Table1[[#This Row],[MATHS]:[GEO]])</f>
        <v>71.571428571428569</v>
      </c>
      <c r="M19" s="2"/>
    </row>
    <row r="20" spans="1:16" ht="14.25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  <c r="K20" s="2">
        <f>SUM(Table1[[#This Row],[MATHS]:[GEO]])</f>
        <v>498</v>
      </c>
      <c r="L20" s="17">
        <f>AVERAGE(Table1[[#This Row],[MATHS]:[GEO]])</f>
        <v>71.142857142857139</v>
      </c>
      <c r="M20" s="2"/>
    </row>
    <row r="21" spans="1:16" ht="14.25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  <c r="K21" s="2">
        <f>SUM(Table1[[#This Row],[MATHS]:[GEO]])</f>
        <v>421</v>
      </c>
      <c r="L21" s="17">
        <f>AVERAGE(Table1[[#This Row],[MATHS]:[GEO]])</f>
        <v>60.142857142857146</v>
      </c>
      <c r="M21" s="2"/>
    </row>
    <row r="22" spans="1:16" ht="14.25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  <c r="K22" s="2">
        <f>SUM(Table1[[#This Row],[MATHS]:[GEO]])</f>
        <v>513</v>
      </c>
      <c r="L22" s="17">
        <f>AVERAGE(Table1[[#This Row],[MATHS]:[GEO]])</f>
        <v>73.285714285714292</v>
      </c>
      <c r="M22" s="2"/>
    </row>
    <row r="23" spans="1:16" ht="14.25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  <c r="K23" s="2">
        <f>SUM(Table1[[#This Row],[MATHS]:[GEO]])</f>
        <v>500</v>
      </c>
      <c r="L23" s="17">
        <f>AVERAGE(Table1[[#This Row],[MATHS]:[GEO]])</f>
        <v>71.428571428571431</v>
      </c>
      <c r="M23" s="2"/>
    </row>
    <row r="24" spans="1:16" ht="14.25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  <c r="K24" s="2">
        <f>SUM(Table1[[#This Row],[MATHS]:[GEO]])</f>
        <v>548</v>
      </c>
      <c r="L24" s="17">
        <f>AVERAGE(Table1[[#This Row],[MATHS]:[GEO]])</f>
        <v>78.285714285714292</v>
      </c>
      <c r="M24" s="2"/>
    </row>
    <row r="25" spans="1:16" ht="14.25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  <c r="K25" s="2">
        <f>SUM(Table1[[#This Row],[MATHS]:[GEO]])</f>
        <v>488</v>
      </c>
      <c r="L25" s="17">
        <f>AVERAGE(Table1[[#This Row],[MATHS]:[GEO]])</f>
        <v>69.714285714285708</v>
      </c>
      <c r="M25" s="2"/>
    </row>
    <row r="26" spans="1:16" ht="14.25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  <c r="K26" s="2">
        <f>SUM(Table1[[#This Row],[MATHS]:[GEO]])</f>
        <v>538</v>
      </c>
      <c r="L26" s="17">
        <f>AVERAGE(Table1[[#This Row],[MATHS]:[GEO]])</f>
        <v>76.857142857142861</v>
      </c>
      <c r="M26" s="2"/>
    </row>
    <row r="27" spans="1:16" ht="14.25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  <c r="K27" s="2">
        <f>SUM(Table1[[#This Row],[MATHS]:[GEO]])</f>
        <v>444</v>
      </c>
      <c r="L27" s="17">
        <f>AVERAGE(Table1[[#This Row],[MATHS]:[GEO]])</f>
        <v>63.428571428571431</v>
      </c>
      <c r="M27" s="2"/>
    </row>
    <row r="28" spans="1:16" ht="14.25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  <c r="K28" s="2">
        <f>SUM(Table1[[#This Row],[MATHS]:[GEO]])</f>
        <v>425</v>
      </c>
      <c r="L28" s="17">
        <f>AVERAGE(Table1[[#This Row],[MATHS]:[GEO]])</f>
        <v>60.714285714285715</v>
      </c>
      <c r="M28" s="2"/>
    </row>
    <row r="29" spans="1:16" ht="14.25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  <c r="K29" s="2">
        <f>SUM(Table1[[#This Row],[MATHS]:[GEO]])</f>
        <v>471</v>
      </c>
      <c r="L29" s="17">
        <f>AVERAGE(Table1[[#This Row],[MATHS]:[GEO]])</f>
        <v>67.285714285714292</v>
      </c>
      <c r="M29" s="2"/>
    </row>
    <row r="30" spans="1:16" ht="14.25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  <c r="K30" s="2">
        <f>SUM(Table1[[#This Row],[MATHS]:[GEO]])</f>
        <v>539</v>
      </c>
      <c r="L30" s="17">
        <f>AVERAGE(Table1[[#This Row],[MATHS]:[GEO]])</f>
        <v>77</v>
      </c>
      <c r="M30" s="2"/>
    </row>
    <row r="31" spans="1:16" ht="14.25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  <c r="K31" s="2">
        <f>SUM(Table1[[#This Row],[MATHS]:[GEO]])</f>
        <v>504</v>
      </c>
      <c r="L31" s="17">
        <f>AVERAGE(Table1[[#This Row],[MATHS]:[GEO]])</f>
        <v>72</v>
      </c>
      <c r="M31" s="2"/>
    </row>
    <row r="32" spans="1:16" ht="15.75" customHeight="1">
      <c r="A32" s="2"/>
      <c r="B32" s="2"/>
      <c r="C32" s="2"/>
    </row>
    <row r="33" spans="1:3" ht="15.75" customHeight="1">
      <c r="A33" s="2"/>
      <c r="B33" s="2"/>
      <c r="C33" s="2"/>
    </row>
    <row r="34" spans="1:3" ht="15.75" customHeight="1">
      <c r="A34" s="2"/>
      <c r="B34" s="2"/>
      <c r="C34" s="2"/>
    </row>
    <row r="35" spans="1:3" ht="15.75" customHeight="1">
      <c r="A35" s="2"/>
      <c r="B35" s="2"/>
      <c r="C35" s="2"/>
    </row>
    <row r="36" spans="1:3" ht="15.75" customHeight="1">
      <c r="A36" s="2"/>
      <c r="B36" s="2"/>
      <c r="C36" s="2"/>
    </row>
    <row r="37" spans="1:3" ht="15.75" customHeight="1">
      <c r="A37" s="2"/>
      <c r="B37" s="2"/>
      <c r="C37" s="2"/>
    </row>
    <row r="38" spans="1:3" ht="15.75" customHeight="1">
      <c r="A38" s="2"/>
      <c r="B38" s="2"/>
      <c r="C38" s="2"/>
    </row>
    <row r="39" spans="1:3" ht="15.75" customHeight="1">
      <c r="A39" s="2"/>
      <c r="B39" s="2"/>
      <c r="C39" s="2"/>
    </row>
    <row r="40" spans="1:3" ht="15.75" customHeight="1">
      <c r="A40" s="2"/>
      <c r="B40" s="2"/>
      <c r="C40" s="2"/>
    </row>
    <row r="41" spans="1:3" ht="15.75" customHeight="1">
      <c r="A41" s="2"/>
      <c r="B41" s="2"/>
      <c r="C41" s="2"/>
    </row>
    <row r="42" spans="1:3" ht="15.75" customHeight="1">
      <c r="A42" s="2"/>
      <c r="B42" s="2"/>
      <c r="C42" s="2"/>
    </row>
    <row r="43" spans="1:3" ht="15.75" customHeight="1">
      <c r="A43" s="2"/>
      <c r="B43" s="2"/>
      <c r="C43" s="2"/>
    </row>
    <row r="44" spans="1:3" ht="15.75" customHeight="1">
      <c r="A44" s="2"/>
      <c r="B44" s="2"/>
      <c r="C44" s="2"/>
    </row>
    <row r="45" spans="1:3" ht="15.75" customHeight="1">
      <c r="A45" s="2"/>
      <c r="B45" s="2"/>
      <c r="C45" s="2"/>
    </row>
    <row r="46" spans="1:3" ht="15.75" customHeight="1">
      <c r="A46" s="2"/>
      <c r="B46" s="2"/>
      <c r="C46" s="2"/>
    </row>
    <row r="47" spans="1:3" ht="15.75" customHeight="1">
      <c r="A47" s="2"/>
      <c r="B47" s="2"/>
      <c r="C47" s="2"/>
    </row>
    <row r="48" spans="1:3" ht="15.75" customHeight="1">
      <c r="A48" s="2"/>
      <c r="B48" s="2"/>
      <c r="C48" s="2"/>
    </row>
    <row r="49" spans="1:3" ht="15.75" customHeight="1">
      <c r="A49" s="2"/>
      <c r="B49" s="2"/>
      <c r="C49" s="2"/>
    </row>
  </sheetData>
  <dataValidations count="1">
    <dataValidation type="list" allowBlank="1" showInputMessage="1" showErrorMessage="1" sqref="A2:A49" xr:uid="{8EBC9177-F89B-4392-AD0F-D6E742F3F744}">
      <formula1>$A$2:$A$49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7370-B34E-4B9D-8B7F-3527390E126E}">
  <dimension ref="B1:M29"/>
  <sheetViews>
    <sheetView tabSelected="1" topLeftCell="A2" zoomScaleNormal="100" workbookViewId="0">
      <selection activeCell="H11" sqref="H11"/>
    </sheetView>
  </sheetViews>
  <sheetFormatPr defaultRowHeight="12.75"/>
  <cols>
    <col min="1" max="1" width="1.140625" customWidth="1"/>
    <col min="2" max="2" width="3.85546875" customWidth="1"/>
    <col min="3" max="3" width="12" bestFit="1" customWidth="1"/>
    <col min="4" max="4" width="1.5703125" bestFit="1" customWidth="1"/>
    <col min="5" max="5" width="14.140625" customWidth="1"/>
    <col min="6" max="6" width="12.42578125" customWidth="1"/>
    <col min="7" max="7" width="15.28515625" bestFit="1" customWidth="1"/>
    <col min="8" max="8" width="12.28515625" customWidth="1"/>
    <col min="9" max="9" width="3.85546875" customWidth="1"/>
    <col min="10" max="10" width="6.5703125" bestFit="1" customWidth="1"/>
    <col min="11" max="11" width="9.42578125" bestFit="1" customWidth="1"/>
    <col min="12" max="12" width="1.5703125" customWidth="1"/>
    <col min="13" max="13" width="2.5703125" hidden="1" customWidth="1"/>
  </cols>
  <sheetData>
    <row r="1" spans="2:13" ht="5.25" customHeight="1"/>
    <row r="2" spans="2:13" ht="7.5" customHeight="1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ht="36" customHeight="1">
      <c r="B3" s="5"/>
      <c r="C3" s="18" t="s">
        <v>81</v>
      </c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2:13" ht="15.75" customHeight="1">
      <c r="B4" s="5"/>
      <c r="C4" s="20" t="s">
        <v>82</v>
      </c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2:13" ht="28.5" customHeight="1">
      <c r="B5" s="5"/>
      <c r="C5" s="21" t="s">
        <v>83</v>
      </c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2:13"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2:13" ht="18" customHeight="1">
      <c r="B7" s="5"/>
      <c r="C7" s="7" t="s">
        <v>0</v>
      </c>
      <c r="D7" s="7" t="s">
        <v>84</v>
      </c>
      <c r="E7" s="8" t="s">
        <v>34</v>
      </c>
      <c r="F7" s="4"/>
      <c r="G7" s="4"/>
      <c r="H7" s="4"/>
      <c r="I7" s="4"/>
      <c r="J7" s="4"/>
      <c r="K7" s="4"/>
      <c r="L7" s="4"/>
      <c r="M7" s="4"/>
    </row>
    <row r="8" spans="2:13" ht="18" customHeight="1">
      <c r="B8" s="5"/>
      <c r="C8" s="7" t="s">
        <v>1</v>
      </c>
      <c r="D8" s="7" t="s">
        <v>84</v>
      </c>
      <c r="E8" s="8" t="str">
        <f>VLOOKUP($E$7,datatable,MATCH(C8,Table1[#Headers],0),0)</f>
        <v>Zainab Sadiq</v>
      </c>
      <c r="F8" s="4"/>
      <c r="G8" s="4"/>
      <c r="H8" s="4"/>
      <c r="I8" s="4"/>
      <c r="J8" s="4"/>
      <c r="K8" s="4"/>
      <c r="L8" s="4"/>
      <c r="M8" s="4"/>
    </row>
    <row r="9" spans="2:13" ht="18" customHeight="1">
      <c r="B9" s="5"/>
      <c r="C9" s="7" t="s">
        <v>2</v>
      </c>
      <c r="D9" s="7" t="s">
        <v>84</v>
      </c>
      <c r="E9" s="8" t="str">
        <f>VLOOKUP($E$7,datatable,MATCH(C9,Table1[#Headers],0),0)</f>
        <v>Chemistry</v>
      </c>
      <c r="F9" s="4"/>
      <c r="G9" s="4"/>
      <c r="H9" s="4"/>
      <c r="I9" s="4"/>
      <c r="J9" s="4"/>
      <c r="K9" s="4"/>
      <c r="L9" s="4"/>
      <c r="M9" s="4"/>
    </row>
    <row r="10" spans="2:13">
      <c r="B10" s="5"/>
      <c r="C10" s="6"/>
      <c r="D10" s="6"/>
      <c r="E10" s="4"/>
      <c r="F10" s="4"/>
      <c r="G10" s="4"/>
      <c r="H10" s="4"/>
      <c r="I10" s="4"/>
      <c r="J10" s="4"/>
      <c r="K10" s="4"/>
      <c r="L10" s="4"/>
      <c r="M10" s="4"/>
    </row>
    <row r="11" spans="2:13" ht="26.25" customHeight="1">
      <c r="B11" s="5"/>
      <c r="C11" s="6"/>
      <c r="D11" s="6"/>
      <c r="E11" s="11" t="s">
        <v>85</v>
      </c>
      <c r="F11" s="11" t="s">
        <v>86</v>
      </c>
      <c r="G11" s="11" t="s">
        <v>87</v>
      </c>
      <c r="H11" s="11" t="s">
        <v>104</v>
      </c>
      <c r="I11" s="4"/>
      <c r="J11" s="4"/>
      <c r="K11" s="4"/>
      <c r="L11" s="4"/>
      <c r="M11" s="4"/>
    </row>
    <row r="12" spans="2:13" ht="19.5" customHeight="1">
      <c r="B12" s="5"/>
      <c r="C12" s="6"/>
      <c r="D12" s="6"/>
      <c r="E12" s="9" t="s">
        <v>3</v>
      </c>
      <c r="F12" s="10">
        <f>VLOOKUP($E$7,datatable,MATCH(E12,Database!$A$1:$J$1,0),FALSE)</f>
        <v>73</v>
      </c>
      <c r="G12" s="12">
        <f>F12/100</f>
        <v>0.73</v>
      </c>
      <c r="H12" s="10" t="str" cm="1">
        <f t="array" ref="H12">_xlfn.XLOOKUP($F12,Database!$N$13:$N$17,Database!$O$13:$O$17,none,-1)</f>
        <v>V.Good</v>
      </c>
      <c r="I12" s="4"/>
      <c r="J12" s="4"/>
      <c r="K12" s="4"/>
      <c r="L12" s="4"/>
      <c r="M12" s="4"/>
    </row>
    <row r="13" spans="2:13" ht="20.25" customHeight="1">
      <c r="B13" s="5"/>
      <c r="C13" s="6"/>
      <c r="D13" s="6"/>
      <c r="E13" s="9" t="s">
        <v>4</v>
      </c>
      <c r="F13" s="10">
        <f>VLOOKUP($E$7,datatable,MATCH(E13,Database!$A$1:$J$1,0),FALSE)</f>
        <v>70</v>
      </c>
      <c r="G13" s="12">
        <f t="shared" ref="G13:G17" si="0">F13/100</f>
        <v>0.7</v>
      </c>
      <c r="H13" s="10" t="str" cm="1">
        <f t="array" ref="H13">_xlfn.XLOOKUP($F13,Database!$N$13:$N$17,Database!$O$13:$O$17,none,-1)</f>
        <v>V.Good</v>
      </c>
      <c r="I13" s="4"/>
      <c r="J13" s="22" t="s">
        <v>91</v>
      </c>
      <c r="K13" s="22"/>
      <c r="L13" s="4"/>
      <c r="M13" s="4"/>
    </row>
    <row r="14" spans="2:13" ht="18.75" customHeight="1">
      <c r="B14" s="5"/>
      <c r="C14" s="6"/>
      <c r="D14" s="6"/>
      <c r="E14" s="9" t="s">
        <v>5</v>
      </c>
      <c r="F14" s="10">
        <f>VLOOKUP($E$7,datatable,MATCH(E14,Database!$A$1:$J$1,0),FALSE)</f>
        <v>75</v>
      </c>
      <c r="G14" s="12">
        <f t="shared" si="0"/>
        <v>0.75</v>
      </c>
      <c r="H14" s="10" t="str" cm="1">
        <f t="array" ref="H14">_xlfn.XLOOKUP($F14,Database!$N$13:$N$17,Database!$O$13:$O$17,none,-1)</f>
        <v>V.Good</v>
      </c>
      <c r="I14" s="4"/>
      <c r="J14" s="13" t="s">
        <v>97</v>
      </c>
      <c r="K14" s="14" t="s">
        <v>103</v>
      </c>
      <c r="L14" s="4"/>
      <c r="M14" s="4"/>
    </row>
    <row r="15" spans="2:13" ht="21.75" customHeight="1">
      <c r="B15" s="5"/>
      <c r="C15" s="6"/>
      <c r="D15" s="6"/>
      <c r="E15" s="9" t="s">
        <v>6</v>
      </c>
      <c r="F15" s="10">
        <f>VLOOKUP($E$7,datatable,MATCH(E15,Database!$A$1:$J$1,0),FALSE)</f>
        <v>68</v>
      </c>
      <c r="G15" s="12">
        <f t="shared" si="0"/>
        <v>0.68</v>
      </c>
      <c r="H15" s="10" t="str" cm="1">
        <f t="array" ref="H15">_xlfn.XLOOKUP($F15,Database!$N$13:$N$17,Database!$O$13:$O$17,none,-1)</f>
        <v>V.Good</v>
      </c>
      <c r="I15" s="4"/>
      <c r="J15" s="13" t="s">
        <v>105</v>
      </c>
      <c r="K15" s="14" t="s">
        <v>98</v>
      </c>
      <c r="L15" s="4"/>
      <c r="M15" s="4"/>
    </row>
    <row r="16" spans="2:13" ht="19.5" customHeight="1">
      <c r="B16" s="5"/>
      <c r="C16" s="6"/>
      <c r="D16" s="6"/>
      <c r="E16" s="9" t="s">
        <v>7</v>
      </c>
      <c r="F16" s="10">
        <f>VLOOKUP($E$7,datatable,MATCH(E16,Database!$A$1:$J$1,0),FALSE)</f>
        <v>80</v>
      </c>
      <c r="G16" s="12">
        <f t="shared" si="0"/>
        <v>0.8</v>
      </c>
      <c r="H16" s="10" t="str" cm="1">
        <f t="array" ref="H16">_xlfn.XLOOKUP($F16,Database!$N$13:$N$17,Database!$O$13:$O$17,none,-1)</f>
        <v>Excellent</v>
      </c>
      <c r="I16" s="4"/>
      <c r="J16" s="13" t="s">
        <v>106</v>
      </c>
      <c r="K16" s="14" t="s">
        <v>99</v>
      </c>
      <c r="L16" s="4"/>
      <c r="M16" s="4"/>
    </row>
    <row r="17" spans="2:13" ht="18.75" customHeight="1">
      <c r="B17" s="5"/>
      <c r="C17" s="6"/>
      <c r="D17" s="6"/>
      <c r="E17" s="9" t="s">
        <v>8</v>
      </c>
      <c r="F17" s="10">
        <f>VLOOKUP($E$7,datatable,MATCH(E17,Database!$A$1:$J$1,0),FALSE)</f>
        <v>65</v>
      </c>
      <c r="G17" s="12">
        <f t="shared" si="0"/>
        <v>0.65</v>
      </c>
      <c r="H17" s="10" t="str" cm="1">
        <f t="array" ref="H17">_xlfn.XLOOKUP($F17,Database!$N$13:$N$17,Database!$O$13:$O$17,none,-1)</f>
        <v>V.Good</v>
      </c>
      <c r="I17" s="4"/>
      <c r="J17" s="13" t="s">
        <v>102</v>
      </c>
      <c r="K17" s="14" t="s">
        <v>100</v>
      </c>
      <c r="L17" s="4"/>
      <c r="M17" s="4"/>
    </row>
    <row r="18" spans="2:13" ht="20.25" customHeight="1">
      <c r="B18" s="5"/>
      <c r="C18" s="6"/>
      <c r="D18" s="6"/>
      <c r="E18" s="9" t="s">
        <v>9</v>
      </c>
      <c r="F18" s="10">
        <f>VLOOKUP($E$7,datatable,MATCH(E18,Database!$A$1:$J$1,0),FALSE)</f>
        <v>69</v>
      </c>
      <c r="G18" s="12">
        <f>F18/100</f>
        <v>0.69</v>
      </c>
      <c r="H18" s="10" t="str" cm="1">
        <f t="array" ref="H18">_xlfn.XLOOKUP($F18,Database!$N$13:$N$17,Database!$O$13:$O$17,none,-1)</f>
        <v>V.Good</v>
      </c>
      <c r="I18" s="4"/>
      <c r="J18" s="13" t="s">
        <v>107</v>
      </c>
      <c r="K18" s="14" t="s">
        <v>101</v>
      </c>
      <c r="L18" s="4"/>
      <c r="M18" s="4"/>
    </row>
    <row r="19" spans="2:13"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2:13">
      <c r="B20" s="5"/>
      <c r="C20" s="4"/>
      <c r="D20" s="4"/>
      <c r="E20" s="4"/>
      <c r="F20" s="4"/>
      <c r="G20" s="14" t="s">
        <v>89</v>
      </c>
      <c r="H20" s="16">
        <f>AVERAGE(F12:F18)</f>
        <v>71.428571428571431</v>
      </c>
      <c r="I20" s="4"/>
      <c r="J20" s="4"/>
      <c r="K20" s="4"/>
      <c r="L20" s="4"/>
      <c r="M20" s="4"/>
    </row>
    <row r="21" spans="2:13">
      <c r="B21" s="5"/>
      <c r="C21" s="4"/>
      <c r="D21" s="4"/>
      <c r="E21" s="4"/>
      <c r="F21" s="4"/>
      <c r="G21" s="14" t="s">
        <v>90</v>
      </c>
      <c r="H21" s="13">
        <f>H20/100</f>
        <v>0.7142857142857143</v>
      </c>
      <c r="I21" s="4"/>
      <c r="J21" s="4"/>
      <c r="K21" s="4"/>
      <c r="L21" s="4"/>
      <c r="M21" s="4"/>
    </row>
    <row r="22" spans="2:13"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2:13">
      <c r="B23" s="5"/>
      <c r="C23" s="4"/>
      <c r="D23" s="4"/>
      <c r="E23" s="14" t="s">
        <v>88</v>
      </c>
      <c r="F23" s="14" t="str">
        <f>IF(H21&lt;50%,"Fail","Pass")</f>
        <v>Pass</v>
      </c>
      <c r="G23" s="4"/>
      <c r="H23" s="4"/>
      <c r="I23" s="4"/>
      <c r="J23" s="4"/>
      <c r="K23" s="4"/>
      <c r="L23" s="4"/>
      <c r="M23" s="4"/>
    </row>
    <row r="24" spans="2:13">
      <c r="B24" s="5"/>
      <c r="C24" s="4"/>
      <c r="D24" s="4"/>
      <c r="E24" s="14" t="s">
        <v>111</v>
      </c>
      <c r="F24" s="14" t="str" cm="1">
        <f t="array" ref="F24">_xlfn.XLOOKUP('Report card'!H20,Database!N13:N17,Database!O13:O17,none,-1)</f>
        <v>V.Good</v>
      </c>
      <c r="G24" s="4"/>
      <c r="H24" s="4"/>
      <c r="I24" s="4"/>
      <c r="J24" s="4"/>
      <c r="K24" s="4"/>
      <c r="L24" s="4"/>
      <c r="M24" s="4"/>
    </row>
    <row r="25" spans="2:13"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2:13"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2:13"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2:13"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2:13"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</sheetData>
  <mergeCells count="4">
    <mergeCell ref="C3:M3"/>
    <mergeCell ref="C4:M4"/>
    <mergeCell ref="C5:M5"/>
    <mergeCell ref="J13:K13"/>
  </mergeCells>
  <pageMargins left="0.25" right="0.25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CEE98-A5A7-4A54-A457-D85BC452FF6F}">
          <x14:formula1>
            <xm:f>Database!$A$2:$A$31</xm:f>
          </x14:formula1>
          <xm:sqref>E7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Database</vt:lpstr>
      <vt:lpstr>Report card</vt:lpstr>
      <vt:lpstr>datatable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Ekkan</dc:creator>
  <cp:lastModifiedBy>Abdulmutalib Salihu</cp:lastModifiedBy>
  <cp:lastPrinted>2026-05-12T16:16:49Z</cp:lastPrinted>
  <dcterms:created xsi:type="dcterms:W3CDTF">2026-05-12T12:57:13Z</dcterms:created>
  <dcterms:modified xsi:type="dcterms:W3CDTF">2026-05-12T17:36:40Z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